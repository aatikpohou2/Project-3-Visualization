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anice\CIVE202\Project 3\Project\"/>
    </mc:Choice>
  </mc:AlternateContent>
  <xr:revisionPtr revIDLastSave="0" documentId="8_{4063BC02-6EAC-4615-8805-590627649851}"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1" l="1"/>
  <c r="E43" i="11"/>
  <c r="E44" i="11" s="1"/>
  <c r="E40" i="11"/>
  <c r="F40" i="11"/>
  <c r="E41" i="11"/>
  <c r="F41" i="11"/>
  <c r="F29" i="11"/>
  <c r="E30" i="11" s="1"/>
  <c r="H42" i="11"/>
  <c r="H35" i="11"/>
  <c r="H7" i="11"/>
  <c r="F9" i="11" l="1"/>
  <c r="I5" i="11"/>
  <c r="H28" i="11"/>
  <c r="H24" i="11"/>
  <c r="H19" i="11"/>
  <c r="H14" i="11"/>
  <c r="H8" i="11"/>
  <c r="F44" i="11" l="1"/>
  <c r="H20" i="11"/>
  <c r="H21" i="11"/>
  <c r="H9" i="11"/>
  <c r="I6" i="11"/>
  <c r="H43" i="11" l="1"/>
  <c r="H29" i="11"/>
  <c r="H10" i="11"/>
  <c r="H22" i="11"/>
  <c r="H13" i="11"/>
  <c r="J5" i="11"/>
  <c r="K5" i="11" s="1"/>
  <c r="L5" i="11" s="1"/>
  <c r="M5" i="11" s="1"/>
  <c r="N5" i="11" s="1"/>
  <c r="O5" i="11" s="1"/>
  <c r="P5" i="11" s="1"/>
  <c r="I4" i="11"/>
  <c r="F30" i="11" l="1"/>
  <c r="H15" i="11"/>
  <c r="H23" i="11"/>
  <c r="H16" i="11"/>
  <c r="H11" i="11"/>
  <c r="H12" i="11"/>
  <c r="P4" i="11"/>
  <c r="Q5" i="11"/>
  <c r="R5" i="11" s="1"/>
  <c r="S5" i="11" s="1"/>
  <c r="T5" i="11" s="1"/>
  <c r="U5" i="11" s="1"/>
  <c r="V5" i="11" s="1"/>
  <c r="W5" i="11" s="1"/>
  <c r="J6" i="11"/>
  <c r="H36" i="11" l="1"/>
  <c r="H27" i="11"/>
  <c r="H18" i="11"/>
  <c r="H17" i="11"/>
  <c r="W4" i="11"/>
  <c r="X5" i="11"/>
  <c r="Y5" i="11" s="1"/>
  <c r="Z5" i="11" s="1"/>
  <c r="AA5" i="11" s="1"/>
  <c r="AB5" i="11" s="1"/>
  <c r="AC5" i="11" s="1"/>
  <c r="AD5" i="11" s="1"/>
  <c r="K6" i="11"/>
  <c r="H25" i="11" l="1"/>
  <c r="AE5" i="11"/>
  <c r="AF5" i="11" s="1"/>
  <c r="AG5" i="11" s="1"/>
  <c r="AH5" i="11" s="1"/>
  <c r="AI5" i="11" s="1"/>
  <c r="AJ5" i="11" s="1"/>
  <c r="AK5" i="11" s="1"/>
  <c r="AD4" i="11"/>
  <c r="L6" i="11"/>
  <c r="AK6" i="11" l="1"/>
  <c r="AK4" i="11"/>
  <c r="AL5" i="11"/>
  <c r="M6" i="11"/>
  <c r="AL6" i="11" l="1"/>
  <c r="AM5" i="11"/>
  <c r="N6" i="11"/>
  <c r="AN5" i="11" l="1"/>
  <c r="AM6" i="11"/>
  <c r="O6" i="11"/>
  <c r="AO5" i="11" l="1"/>
  <c r="AN6" i="11"/>
  <c r="P6" i="11"/>
  <c r="Q6" i="11"/>
  <c r="AP5" i="11" l="1"/>
  <c r="AO6" i="11"/>
  <c r="R6" i="11"/>
  <c r="AQ5" i="11" l="1"/>
  <c r="AP6" i="11"/>
  <c r="S6" i="11"/>
  <c r="AR5" i="11" l="1"/>
  <c r="AQ6" i="11"/>
  <c r="T6" i="11"/>
  <c r="AS5" i="11" l="1"/>
  <c r="AR4" i="11"/>
  <c r="AR6" i="11"/>
  <c r="U6" i="11"/>
  <c r="AS6" i="11" l="1"/>
  <c r="AT5" i="11"/>
  <c r="V6" i="11"/>
  <c r="AT6" i="11" l="1"/>
  <c r="AU5" i="11"/>
  <c r="W6" i="11"/>
  <c r="AV5" i="11" l="1"/>
  <c r="AU6" i="11"/>
  <c r="X6" i="11"/>
  <c r="AW5" i="11" l="1"/>
  <c r="AV6" i="11"/>
  <c r="Y6" i="11"/>
  <c r="AX5" i="11" l="1"/>
  <c r="AX6" i="11" s="1"/>
  <c r="AW6" i="11"/>
  <c r="Z6" i="11"/>
  <c r="AA6" i="11" l="1"/>
  <c r="AB6" i="11" l="1"/>
  <c r="AC6" i="11" l="1"/>
  <c r="AD6" i="11" l="1"/>
  <c r="AE6" i="11" l="1"/>
  <c r="AF6" i="11" l="1"/>
  <c r="AG6" i="11" l="1"/>
  <c r="AH6" i="11" l="1"/>
  <c r="AI6" i="11" l="1"/>
  <c r="AJ6" i="11" l="1"/>
</calcChain>
</file>

<file path=xl/sharedStrings.xml><?xml version="1.0" encoding="utf-8"?>
<sst xmlns="http://schemas.openxmlformats.org/spreadsheetml/2006/main" count="83" uniqueCount="42">
  <si>
    <t>CIVE 202 Project #3</t>
  </si>
  <si>
    <t>Project start:</t>
  </si>
  <si>
    <t xml:space="preserve"> Anicet Atikpohou</t>
  </si>
  <si>
    <t>Display week:</t>
  </si>
  <si>
    <t>TASK</t>
  </si>
  <si>
    <t>ASSIGNED TO</t>
  </si>
  <si>
    <t>PROGRESS</t>
  </si>
  <si>
    <t>START</t>
  </si>
  <si>
    <t>END</t>
  </si>
  <si>
    <t xml:space="preserve">Do not delete this row. This row is hidden to preserve a formula that is used to highlight the current day within the project schedule. </t>
  </si>
  <si>
    <t>Github Repository</t>
  </si>
  <si>
    <t>Create Github</t>
  </si>
  <si>
    <t>Anicet</t>
  </si>
  <si>
    <t>Create README Document</t>
  </si>
  <si>
    <t>Combine information/Files</t>
  </si>
  <si>
    <t>Upload All Files to Github</t>
  </si>
  <si>
    <t>Submit</t>
  </si>
  <si>
    <t>Scope of Work</t>
  </si>
  <si>
    <t>Identify Tasks</t>
  </si>
  <si>
    <t>Create SOW</t>
  </si>
  <si>
    <t>Review</t>
  </si>
  <si>
    <t>Submit SOW</t>
  </si>
  <si>
    <t>Gantt Chart</t>
  </si>
  <si>
    <t>Create Gantt Chart</t>
  </si>
  <si>
    <t>Turn in Gantt Chart</t>
  </si>
  <si>
    <t>Discuss/Apply To Report</t>
  </si>
  <si>
    <t>Python Code</t>
  </si>
  <si>
    <t>LAB 1 Material</t>
  </si>
  <si>
    <t>LAB 2 Material</t>
  </si>
  <si>
    <t>LAB 3 Material</t>
  </si>
  <si>
    <t>Combine/Polish</t>
  </si>
  <si>
    <t>Review and Submit</t>
  </si>
  <si>
    <t>Annotated Code Document</t>
  </si>
  <si>
    <t>Written Report</t>
  </si>
  <si>
    <t>Analyze Outputs</t>
  </si>
  <si>
    <t>Create Document to Standards</t>
  </si>
  <si>
    <t>IDM Visualization</t>
  </si>
  <si>
    <t xml:space="preserve">Anicet </t>
  </si>
  <si>
    <t>LAB 4 Material</t>
  </si>
  <si>
    <t>2/29/26</t>
  </si>
  <si>
    <t>Charts/ Graphs</t>
  </si>
  <si>
    <t>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</si>
</sst>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5">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13" fillId="12" borderId="19" xfId="0" applyNumberFormat="1" applyFont="1" applyFill="1" applyBorder="1" applyAlignment="1">
      <alignment horizontal="center" vertical="center"/>
    </xf>
    <xf numFmtId="167" fontId="13" fillId="12" borderId="17" xfId="0" applyNumberFormat="1" applyFont="1" applyFill="1" applyBorder="1" applyAlignment="1">
      <alignment horizontal="center" vertical="center"/>
    </xf>
    <xf numFmtId="167" fontId="13" fillId="12" borderId="18" xfId="0" applyNumberFormat="1" applyFont="1" applyFill="1" applyBorder="1" applyAlignment="1">
      <alignment horizontal="center" vertical="center"/>
    </xf>
    <xf numFmtId="0" fontId="14" fillId="2" borderId="16" xfId="0" applyFont="1" applyFill="1" applyBorder="1" applyAlignment="1">
      <alignment horizontal="center" vertical="center" shrinkToFit="1"/>
    </xf>
    <xf numFmtId="0" fontId="14" fillId="2" borderId="14" xfId="0" applyFont="1" applyFill="1" applyBorder="1" applyAlignment="1">
      <alignment horizontal="center" vertical="center" shrinkToFit="1"/>
    </xf>
    <xf numFmtId="0" fontId="11" fillId="0" borderId="0" xfId="0" applyFont="1"/>
    <xf numFmtId="0" fontId="11" fillId="0" borderId="0" xfId="0" applyFont="1" applyAlignment="1">
      <alignment wrapText="1"/>
    </xf>
    <xf numFmtId="0" fontId="4" fillId="0" borderId="3" xfId="0" applyFont="1" applyBorder="1" applyAlignment="1">
      <alignment vertical="center"/>
    </xf>
    <xf numFmtId="0" fontId="15" fillId="6" borderId="0" xfId="0" applyFont="1" applyFill="1" applyAlignment="1">
      <alignment horizontal="left" vertical="center" indent="1"/>
    </xf>
    <xf numFmtId="0" fontId="11" fillId="6" borderId="0" xfId="11" applyFont="1" applyFill="1" applyBorder="1" applyAlignment="1">
      <alignment vertical="center"/>
    </xf>
    <xf numFmtId="9" fontId="1" fillId="6" borderId="0" xfId="2" applyFont="1" applyFill="1" applyBorder="1" applyAlignment="1">
      <alignment horizontal="center" vertical="center"/>
    </xf>
    <xf numFmtId="164" fontId="11"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1" fillId="3" borderId="6" xfId="12" applyFont="1" applyFill="1" applyBorder="1">
      <alignment horizontal="left" vertical="center" indent="2"/>
    </xf>
    <xf numFmtId="0" fontId="11" fillId="3" borderId="6" xfId="11" applyFont="1" applyFill="1" applyBorder="1" applyAlignment="1">
      <alignment vertical="center"/>
    </xf>
    <xf numFmtId="9" fontId="1" fillId="3" borderId="6" xfId="2" applyFont="1" applyFill="1" applyBorder="1" applyAlignment="1">
      <alignment horizontal="center" vertical="center"/>
    </xf>
    <xf numFmtId="164" fontId="11" fillId="3" borderId="6" xfId="10" applyFont="1" applyFill="1" applyBorder="1">
      <alignment horizontal="center" vertical="center"/>
    </xf>
    <xf numFmtId="0" fontId="4" fillId="0" borderId="4" xfId="0" applyFont="1" applyBorder="1" applyAlignment="1">
      <alignment vertical="center"/>
    </xf>
    <xf numFmtId="0" fontId="11" fillId="3" borderId="7" xfId="12" applyFont="1" applyFill="1" applyBorder="1">
      <alignment horizontal="left" vertical="center" indent="2"/>
    </xf>
    <xf numFmtId="0" fontId="11" fillId="3" borderId="7" xfId="11" applyFont="1" applyFill="1" applyBorder="1" applyAlignment="1">
      <alignment vertical="center"/>
    </xf>
    <xf numFmtId="9" fontId="1" fillId="3" borderId="7" xfId="2" applyFont="1" applyFill="1" applyBorder="1" applyAlignment="1">
      <alignment horizontal="center" vertical="center"/>
    </xf>
    <xf numFmtId="164" fontId="11" fillId="3" borderId="7" xfId="10" applyFont="1" applyFill="1" applyBorder="1">
      <alignment horizontal="center" vertical="center"/>
    </xf>
    <xf numFmtId="0" fontId="4" fillId="0" borderId="4" xfId="0" applyFont="1" applyBorder="1" applyAlignment="1">
      <alignment horizontal="right" vertical="center"/>
    </xf>
    <xf numFmtId="0" fontId="15" fillId="7" borderId="0" xfId="0" applyFont="1" applyFill="1" applyAlignment="1">
      <alignment horizontal="left" vertical="center" indent="1"/>
    </xf>
    <xf numFmtId="0" fontId="11" fillId="7" borderId="0" xfId="11" applyFont="1" applyFill="1" applyBorder="1" applyAlignment="1">
      <alignment vertical="center"/>
    </xf>
    <xf numFmtId="9" fontId="1" fillId="7" borderId="0" xfId="2" applyFont="1" applyFill="1" applyBorder="1" applyAlignment="1">
      <alignment horizontal="center" vertical="center"/>
    </xf>
    <xf numFmtId="164" fontId="11"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1" fillId="4" borderId="5" xfId="12" applyFont="1" applyFill="1" applyBorder="1">
      <alignment horizontal="left" vertical="center" indent="2"/>
    </xf>
    <xf numFmtId="0" fontId="11" fillId="4" borderId="5" xfId="11" applyFont="1" applyFill="1" applyBorder="1" applyAlignment="1">
      <alignment vertical="center"/>
    </xf>
    <xf numFmtId="9" fontId="1" fillId="4" borderId="5" xfId="2" applyFont="1" applyFill="1" applyBorder="1" applyAlignment="1">
      <alignment horizontal="center" vertical="center"/>
    </xf>
    <xf numFmtId="164" fontId="11" fillId="4" borderId="5" xfId="10" applyFont="1" applyFill="1" applyBorder="1">
      <alignment horizontal="center" vertical="center"/>
    </xf>
    <xf numFmtId="0" fontId="15" fillId="8" borderId="0" xfId="0" applyFont="1" applyFill="1" applyAlignment="1">
      <alignment horizontal="left" vertical="center" indent="1"/>
    </xf>
    <xf numFmtId="0" fontId="11" fillId="8" borderId="0" xfId="11" applyFont="1" applyFill="1" applyBorder="1" applyAlignment="1">
      <alignment vertical="center"/>
    </xf>
    <xf numFmtId="9" fontId="1" fillId="8" borderId="0" xfId="2" applyFont="1" applyFill="1" applyBorder="1" applyAlignment="1">
      <alignment horizontal="center" vertical="center"/>
    </xf>
    <xf numFmtId="164" fontId="11"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1" fillId="5" borderId="8" xfId="12" applyFont="1" applyFill="1" applyBorder="1">
      <alignment horizontal="left" vertical="center" indent="2"/>
    </xf>
    <xf numFmtId="0" fontId="11" fillId="5" borderId="8" xfId="11" applyFont="1" applyFill="1" applyBorder="1" applyAlignment="1">
      <alignment vertical="center"/>
    </xf>
    <xf numFmtId="9" fontId="1" fillId="5" borderId="8" xfId="2" applyFont="1" applyFill="1" applyBorder="1" applyAlignment="1">
      <alignment horizontal="center" vertical="center"/>
    </xf>
    <xf numFmtId="164" fontId="11" fillId="5" borderId="8" xfId="10" applyFont="1" applyFill="1" applyBorder="1">
      <alignment horizontal="center" vertical="center"/>
    </xf>
    <xf numFmtId="0" fontId="15" fillId="9" borderId="0" xfId="0" applyFont="1" applyFill="1" applyAlignment="1">
      <alignment horizontal="left" vertical="center" indent="1"/>
    </xf>
    <xf numFmtId="0" fontId="11" fillId="9" borderId="0" xfId="11" applyFont="1" applyFill="1" applyBorder="1" applyAlignment="1">
      <alignment vertical="center"/>
    </xf>
    <xf numFmtId="9" fontId="1" fillId="9" borderId="0" xfId="2" applyFont="1" applyFill="1" applyBorder="1" applyAlignment="1">
      <alignment horizontal="center" vertical="center"/>
    </xf>
    <xf numFmtId="164" fontId="11"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1" fillId="10" borderId="9" xfId="12" applyFont="1" applyFill="1" applyBorder="1">
      <alignment horizontal="left" vertical="center" indent="2"/>
    </xf>
    <xf numFmtId="0" fontId="11" fillId="10" borderId="9" xfId="11" applyFont="1" applyFill="1" applyBorder="1" applyAlignment="1">
      <alignment vertical="center"/>
    </xf>
    <xf numFmtId="9" fontId="1" fillId="10" borderId="9" xfId="2" applyFont="1" applyFill="1" applyBorder="1" applyAlignment="1">
      <alignment horizontal="center" vertical="center"/>
    </xf>
    <xf numFmtId="164" fontId="11" fillId="10" borderId="9" xfId="10" applyFont="1" applyFill="1" applyBorder="1">
      <alignment horizontal="center" vertical="center"/>
    </xf>
    <xf numFmtId="0" fontId="19" fillId="0" borderId="0" xfId="5" applyFont="1" applyAlignment="1">
      <alignment horizontal="left" vertical="center"/>
    </xf>
    <xf numFmtId="14" fontId="0" fillId="0" borderId="0" xfId="0" applyNumberFormat="1"/>
    <xf numFmtId="166" fontId="11" fillId="2" borderId="13" xfId="0" applyNumberFormat="1" applyFont="1" applyFill="1" applyBorder="1" applyAlignment="1">
      <alignment horizontal="center" vertical="center" wrapText="1"/>
    </xf>
    <xf numFmtId="0" fontId="12" fillId="11" borderId="15" xfId="0" applyFont="1" applyFill="1" applyBorder="1" applyAlignment="1">
      <alignment horizontal="center" vertical="center"/>
    </xf>
    <xf numFmtId="0" fontId="4" fillId="2" borderId="20" xfId="0" applyFont="1" applyFill="1" applyBorder="1"/>
    <xf numFmtId="0" fontId="17" fillId="0" borderId="0" xfId="0" applyFont="1" applyAlignment="1">
      <alignment horizontal="left"/>
    </xf>
    <xf numFmtId="0" fontId="18" fillId="0" borderId="0" xfId="0" applyFont="1"/>
    <xf numFmtId="165" fontId="17" fillId="0" borderId="0" xfId="9" applyFont="1" applyBorder="1" applyAlignment="1">
      <alignment horizontal="left"/>
    </xf>
    <xf numFmtId="0" fontId="16" fillId="0" borderId="0" xfId="8" applyFont="1" applyAlignment="1">
      <alignment horizontal="left"/>
    </xf>
    <xf numFmtId="0" fontId="4" fillId="0" borderId="0" xfId="0" applyFont="1"/>
    <xf numFmtId="0" fontId="16" fillId="0" borderId="0" xfId="6" applyFont="1" applyAlignment="1">
      <alignment horizontal="center" vertical="center"/>
    </xf>
    <xf numFmtId="166" fontId="11" fillId="2" borderId="17" xfId="0" applyNumberFormat="1" applyFont="1" applyFill="1" applyBorder="1" applyAlignment="1">
      <alignment horizontal="center" vertical="center" wrapText="1"/>
    </xf>
    <xf numFmtId="0" fontId="7" fillId="0" borderId="0" xfId="3" applyAlignment="1">
      <alignment wrapText="1"/>
    </xf>
    <xf numFmtId="0" fontId="12"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2" fillId="11" borderId="15"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9">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8"/>
      <tableStyleElement type="headerRow" dxfId="27"/>
      <tableStyleElement type="totalRow" dxfId="26"/>
      <tableStyleElement type="firstColumn" dxfId="25"/>
      <tableStyleElement type="lastColumn" dxfId="24"/>
      <tableStyleElement type="firstRowStripe" dxfId="23"/>
      <tableStyleElement type="secondRowStripe" dxfId="22"/>
      <tableStyleElement type="firstColumnStripe" dxfId="21"/>
      <tableStyleElement type="secondColumnStripe" dxfId="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B48"/>
  <sheetViews>
    <sheetView showGridLines="0" tabSelected="1" showRuler="0" topLeftCell="A33" zoomScale="70" zoomScaleNormal="70" zoomScalePageLayoutView="70" workbookViewId="0">
      <selection activeCell="Q28" sqref="Q28"/>
    </sheetView>
  </sheetViews>
  <sheetFormatPr defaultColWidth="8.59765625" defaultRowHeight="30" customHeight="1" x14ac:dyDescent="0.25"/>
  <cols>
    <col min="1" max="1" width="2.59765625" style="4" customWidth="1"/>
    <col min="2" max="2" width="45.3984375" customWidth="1"/>
    <col min="3" max="3" width="12" bestFit="1" customWidth="1"/>
    <col min="4" max="4" width="10.59765625" customWidth="1"/>
    <col min="5" max="5" width="10.59765625" style="2" customWidth="1"/>
    <col min="6" max="6" width="10.59765625" customWidth="1"/>
    <col min="7" max="7" width="2.59765625" customWidth="1"/>
    <col min="8" max="8" width="6" hidden="1" customWidth="1"/>
    <col min="9" max="36" width="4.59765625" customWidth="1"/>
    <col min="37" max="37" width="2.59765625" customWidth="1"/>
  </cols>
  <sheetData>
    <row r="1" spans="1:54" ht="90" customHeight="1" x14ac:dyDescent="0.6">
      <c r="A1" s="5"/>
      <c r="B1" s="69" t="s">
        <v>0</v>
      </c>
      <c r="C1" s="7"/>
      <c r="D1" s="8"/>
      <c r="E1" s="9"/>
      <c r="F1" s="10"/>
      <c r="H1" s="1"/>
      <c r="I1" s="77" t="s">
        <v>1</v>
      </c>
      <c r="J1" s="78"/>
      <c r="K1" s="78"/>
      <c r="L1" s="78"/>
      <c r="M1" s="78"/>
      <c r="N1" s="78"/>
      <c r="O1" s="78"/>
      <c r="P1" s="11"/>
      <c r="Q1" s="76">
        <v>46080</v>
      </c>
      <c r="R1" s="75"/>
      <c r="S1" s="75"/>
      <c r="T1" s="75"/>
      <c r="U1" s="75"/>
      <c r="V1" s="75"/>
      <c r="W1" s="75"/>
      <c r="X1" s="75"/>
      <c r="Y1" s="75"/>
      <c r="Z1" s="75"/>
    </row>
    <row r="2" spans="1:54" ht="30" customHeight="1" x14ac:dyDescent="0.6">
      <c r="B2" s="79" t="s">
        <v>2</v>
      </c>
      <c r="C2" s="79"/>
      <c r="D2" s="79"/>
      <c r="E2" s="79"/>
      <c r="F2" s="79"/>
      <c r="I2" s="77" t="s">
        <v>3</v>
      </c>
      <c r="J2" s="78"/>
      <c r="K2" s="78"/>
      <c r="L2" s="78"/>
      <c r="M2" s="78"/>
      <c r="N2" s="78"/>
      <c r="O2" s="78"/>
      <c r="P2" s="11"/>
      <c r="Q2" s="74">
        <v>1</v>
      </c>
      <c r="R2" s="75"/>
      <c r="S2" s="75"/>
      <c r="T2" s="75"/>
      <c r="U2" s="75"/>
      <c r="V2" s="75"/>
      <c r="W2" s="75"/>
      <c r="X2" s="75"/>
      <c r="Y2" s="75"/>
      <c r="Z2" s="75"/>
    </row>
    <row r="3" spans="1:54" s="12" customFormat="1" ht="30" customHeight="1" x14ac:dyDescent="0.25">
      <c r="A3" s="4"/>
      <c r="B3" s="79"/>
      <c r="C3" s="79"/>
      <c r="D3" s="79"/>
      <c r="E3" s="79"/>
      <c r="F3" s="79"/>
    </row>
    <row r="4" spans="1:54" s="12" customFormat="1" ht="30" customHeight="1" x14ac:dyDescent="0.25">
      <c r="A4" s="5"/>
      <c r="B4" s="13"/>
      <c r="E4" s="14"/>
      <c r="I4" s="80">
        <f>I5</f>
        <v>46076</v>
      </c>
      <c r="J4" s="71"/>
      <c r="K4" s="71"/>
      <c r="L4" s="71"/>
      <c r="M4" s="71"/>
      <c r="N4" s="71"/>
      <c r="O4" s="71"/>
      <c r="P4" s="71">
        <f>P5</f>
        <v>46083</v>
      </c>
      <c r="Q4" s="71"/>
      <c r="R4" s="71"/>
      <c r="S4" s="71"/>
      <c r="T4" s="71"/>
      <c r="U4" s="71"/>
      <c r="V4" s="71"/>
      <c r="W4" s="71">
        <f>W5</f>
        <v>46090</v>
      </c>
      <c r="X4" s="71"/>
      <c r="Y4" s="71"/>
      <c r="Z4" s="71"/>
      <c r="AA4" s="71"/>
      <c r="AB4" s="71"/>
      <c r="AC4" s="71"/>
      <c r="AD4" s="71">
        <f>AD5</f>
        <v>46097</v>
      </c>
      <c r="AE4" s="71"/>
      <c r="AF4" s="71"/>
      <c r="AG4" s="71"/>
      <c r="AH4" s="71"/>
      <c r="AI4" s="71"/>
      <c r="AJ4" s="71"/>
      <c r="AK4" s="71">
        <f>AK5</f>
        <v>46104</v>
      </c>
      <c r="AL4" s="71"/>
      <c r="AM4" s="71"/>
      <c r="AN4" s="71"/>
      <c r="AO4" s="71"/>
      <c r="AP4" s="71"/>
      <c r="AQ4" s="71"/>
      <c r="AR4" s="71">
        <f>AR5</f>
        <v>46111</v>
      </c>
      <c r="AS4" s="71"/>
      <c r="AT4" s="71"/>
      <c r="AU4" s="71"/>
      <c r="AV4" s="71"/>
      <c r="AW4" s="71"/>
      <c r="AX4" s="71"/>
    </row>
    <row r="5" spans="1:54" s="12" customFormat="1" ht="15" customHeight="1" x14ac:dyDescent="0.25">
      <c r="A5" s="81"/>
      <c r="B5" s="82" t="s">
        <v>4</v>
      </c>
      <c r="C5" s="84" t="s">
        <v>5</v>
      </c>
      <c r="D5" s="72" t="s">
        <v>6</v>
      </c>
      <c r="E5" s="72" t="s">
        <v>7</v>
      </c>
      <c r="F5" s="72" t="s">
        <v>8</v>
      </c>
      <c r="I5" s="15">
        <f>Project_Start-WEEKDAY(Project_Start,1)+2+7*(Display_Week-1)</f>
        <v>46076</v>
      </c>
      <c r="J5" s="15">
        <f>I5+1</f>
        <v>46077</v>
      </c>
      <c r="K5" s="15">
        <f t="shared" ref="K5:AJ5" si="0">J5+1</f>
        <v>46078</v>
      </c>
      <c r="L5" s="15">
        <f t="shared" si="0"/>
        <v>46079</v>
      </c>
      <c r="M5" s="15">
        <f t="shared" si="0"/>
        <v>46080</v>
      </c>
      <c r="N5" s="15">
        <f t="shared" si="0"/>
        <v>46081</v>
      </c>
      <c r="O5" s="16">
        <f t="shared" si="0"/>
        <v>46082</v>
      </c>
      <c r="P5" s="17">
        <f>O5+1</f>
        <v>46083</v>
      </c>
      <c r="Q5" s="15">
        <f>P5+1</f>
        <v>46084</v>
      </c>
      <c r="R5" s="15">
        <f t="shared" si="0"/>
        <v>46085</v>
      </c>
      <c r="S5" s="15">
        <f t="shared" si="0"/>
        <v>46086</v>
      </c>
      <c r="T5" s="15">
        <f t="shared" si="0"/>
        <v>46087</v>
      </c>
      <c r="U5" s="15">
        <f t="shared" si="0"/>
        <v>46088</v>
      </c>
      <c r="V5" s="16">
        <f t="shared" si="0"/>
        <v>46089</v>
      </c>
      <c r="W5" s="17">
        <f>V5+1</f>
        <v>46090</v>
      </c>
      <c r="X5" s="15">
        <f>W5+1</f>
        <v>46091</v>
      </c>
      <c r="Y5" s="15">
        <f t="shared" si="0"/>
        <v>46092</v>
      </c>
      <c r="Z5" s="15">
        <f t="shared" si="0"/>
        <v>46093</v>
      </c>
      <c r="AA5" s="15">
        <f t="shared" si="0"/>
        <v>46094</v>
      </c>
      <c r="AB5" s="15">
        <f t="shared" si="0"/>
        <v>46095</v>
      </c>
      <c r="AC5" s="16">
        <f t="shared" si="0"/>
        <v>46096</v>
      </c>
      <c r="AD5" s="17">
        <f>AC5+1</f>
        <v>46097</v>
      </c>
      <c r="AE5" s="15">
        <f>AD5+1</f>
        <v>46098</v>
      </c>
      <c r="AF5" s="15">
        <f t="shared" si="0"/>
        <v>46099</v>
      </c>
      <c r="AG5" s="15">
        <f t="shared" si="0"/>
        <v>46100</v>
      </c>
      <c r="AH5" s="15">
        <f t="shared" si="0"/>
        <v>46101</v>
      </c>
      <c r="AI5" s="15">
        <f t="shared" si="0"/>
        <v>46102</v>
      </c>
      <c r="AJ5" s="16">
        <f t="shared" si="0"/>
        <v>46103</v>
      </c>
      <c r="AK5" s="16">
        <f t="shared" ref="AK5" si="1">AJ5+1</f>
        <v>46104</v>
      </c>
      <c r="AL5" s="16">
        <f t="shared" ref="AL5" si="2">AK5+1</f>
        <v>46105</v>
      </c>
      <c r="AM5" s="16">
        <f t="shared" ref="AM5" si="3">AL5+1</f>
        <v>46106</v>
      </c>
      <c r="AN5" s="16">
        <f t="shared" ref="AN5" si="4">AM5+1</f>
        <v>46107</v>
      </c>
      <c r="AO5" s="16">
        <f t="shared" ref="AO5" si="5">AN5+1</f>
        <v>46108</v>
      </c>
      <c r="AP5" s="16">
        <f t="shared" ref="AP5" si="6">AO5+1</f>
        <v>46109</v>
      </c>
      <c r="AQ5" s="16">
        <f t="shared" ref="AQ5" si="7">AP5+1</f>
        <v>46110</v>
      </c>
      <c r="AR5" s="16">
        <f t="shared" ref="AR5" si="8">AQ5+1</f>
        <v>46111</v>
      </c>
      <c r="AS5" s="16">
        <f t="shared" ref="AS5" si="9">AR5+1</f>
        <v>46112</v>
      </c>
      <c r="AT5" s="16">
        <f t="shared" ref="AT5" si="10">AS5+1</f>
        <v>46113</v>
      </c>
      <c r="AU5" s="16">
        <f t="shared" ref="AU5" si="11">AT5+1</f>
        <v>46114</v>
      </c>
      <c r="AV5" s="16">
        <f t="shared" ref="AV5" si="12">AU5+1</f>
        <v>46115</v>
      </c>
      <c r="AW5" s="16">
        <f t="shared" ref="AW5" si="13">AV5+1</f>
        <v>46116</v>
      </c>
      <c r="AX5" s="16">
        <f t="shared" ref="AX5" si="14">AW5+1</f>
        <v>46117</v>
      </c>
    </row>
    <row r="6" spans="1:54" s="12" customFormat="1" ht="15" customHeight="1" thickBot="1" x14ac:dyDescent="0.3">
      <c r="A6" s="81"/>
      <c r="B6" s="83"/>
      <c r="C6" s="73"/>
      <c r="D6" s="73"/>
      <c r="E6" s="73"/>
      <c r="F6" s="73"/>
      <c r="I6" s="18" t="str">
        <f t="shared" ref="I6:AX6" si="15">LEFT(TEXT(I5,"ddd"),1)</f>
        <v>M</v>
      </c>
      <c r="J6" s="19" t="str">
        <f t="shared" si="15"/>
        <v>T</v>
      </c>
      <c r="K6" s="19" t="str">
        <f t="shared" si="15"/>
        <v>W</v>
      </c>
      <c r="L6" s="19" t="str">
        <f t="shared" si="15"/>
        <v>T</v>
      </c>
      <c r="M6" s="19" t="str">
        <f t="shared" si="15"/>
        <v>F</v>
      </c>
      <c r="N6" s="19" t="str">
        <f t="shared" si="15"/>
        <v>S</v>
      </c>
      <c r="O6" s="19" t="str">
        <f t="shared" si="15"/>
        <v>S</v>
      </c>
      <c r="P6" s="19" t="str">
        <f t="shared" si="15"/>
        <v>M</v>
      </c>
      <c r="Q6" s="19" t="str">
        <f t="shared" si="15"/>
        <v>T</v>
      </c>
      <c r="R6" s="19" t="str">
        <f t="shared" si="15"/>
        <v>W</v>
      </c>
      <c r="S6" s="19" t="str">
        <f t="shared" si="15"/>
        <v>T</v>
      </c>
      <c r="T6" s="19" t="str">
        <f t="shared" si="15"/>
        <v>F</v>
      </c>
      <c r="U6" s="19" t="str">
        <f t="shared" si="15"/>
        <v>S</v>
      </c>
      <c r="V6" s="19" t="str">
        <f t="shared" si="15"/>
        <v>S</v>
      </c>
      <c r="W6" s="19" t="str">
        <f t="shared" si="15"/>
        <v>M</v>
      </c>
      <c r="X6" s="19" t="str">
        <f t="shared" si="15"/>
        <v>T</v>
      </c>
      <c r="Y6" s="19" t="str">
        <f t="shared" si="15"/>
        <v>W</v>
      </c>
      <c r="Z6" s="19" t="str">
        <f t="shared" si="15"/>
        <v>T</v>
      </c>
      <c r="AA6" s="19" t="str">
        <f t="shared" si="15"/>
        <v>F</v>
      </c>
      <c r="AB6" s="19" t="str">
        <f t="shared" si="15"/>
        <v>S</v>
      </c>
      <c r="AC6" s="19" t="str">
        <f t="shared" si="15"/>
        <v>S</v>
      </c>
      <c r="AD6" s="19" t="str">
        <f t="shared" si="15"/>
        <v>M</v>
      </c>
      <c r="AE6" s="19" t="str">
        <f t="shared" si="15"/>
        <v>T</v>
      </c>
      <c r="AF6" s="19" t="str">
        <f t="shared" si="15"/>
        <v>W</v>
      </c>
      <c r="AG6" s="19" t="str">
        <f t="shared" si="15"/>
        <v>T</v>
      </c>
      <c r="AH6" s="19" t="str">
        <f t="shared" si="15"/>
        <v>F</v>
      </c>
      <c r="AI6" s="19" t="str">
        <f t="shared" si="15"/>
        <v>S</v>
      </c>
      <c r="AJ6" s="19" t="str">
        <f t="shared" si="15"/>
        <v>S</v>
      </c>
      <c r="AK6" s="19" t="str">
        <f t="shared" si="15"/>
        <v>M</v>
      </c>
      <c r="AL6" s="19" t="str">
        <f t="shared" si="15"/>
        <v>T</v>
      </c>
      <c r="AM6" s="19" t="str">
        <f t="shared" si="15"/>
        <v>W</v>
      </c>
      <c r="AN6" s="19" t="str">
        <f t="shared" si="15"/>
        <v>T</v>
      </c>
      <c r="AO6" s="19" t="str">
        <f t="shared" si="15"/>
        <v>F</v>
      </c>
      <c r="AP6" s="19" t="str">
        <f t="shared" si="15"/>
        <v>S</v>
      </c>
      <c r="AQ6" s="19" t="str">
        <f t="shared" si="15"/>
        <v>S</v>
      </c>
      <c r="AR6" s="19" t="str">
        <f t="shared" si="15"/>
        <v>M</v>
      </c>
      <c r="AS6" s="19" t="str">
        <f t="shared" si="15"/>
        <v>T</v>
      </c>
      <c r="AT6" s="19" t="str">
        <f t="shared" si="15"/>
        <v>W</v>
      </c>
      <c r="AU6" s="19" t="str">
        <f t="shared" si="15"/>
        <v>T</v>
      </c>
      <c r="AV6" s="19" t="str">
        <f t="shared" si="15"/>
        <v>F</v>
      </c>
      <c r="AW6" s="19" t="str">
        <f t="shared" si="15"/>
        <v>S</v>
      </c>
      <c r="AX6" s="19" t="str">
        <f t="shared" si="15"/>
        <v>S</v>
      </c>
    </row>
    <row r="7" spans="1:54" s="12" customFormat="1" ht="30" hidden="1" customHeight="1" thickBot="1" x14ac:dyDescent="0.3">
      <c r="A7" s="4" t="s">
        <v>9</v>
      </c>
      <c r="B7" s="20"/>
      <c r="C7" s="21"/>
      <c r="D7" s="20"/>
      <c r="E7" s="20"/>
      <c r="F7" s="20"/>
      <c r="H7" s="12"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row>
    <row r="8" spans="1:54" s="29" customFormat="1" ht="30" customHeight="1" thickBot="1" x14ac:dyDescent="0.3">
      <c r="A8" s="5"/>
      <c r="B8" s="23" t="s">
        <v>10</v>
      </c>
      <c r="C8" s="24"/>
      <c r="D8" s="25"/>
      <c r="E8" s="26"/>
      <c r="F8" s="27"/>
      <c r="G8" s="6"/>
      <c r="H8" s="3" t="str">
        <f t="shared" ref="H8:H29" si="16">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row>
    <row r="9" spans="1:54" s="29" customFormat="1" ht="30" customHeight="1" thickBot="1" x14ac:dyDescent="0.3">
      <c r="A9" s="5"/>
      <c r="B9" s="30" t="s">
        <v>11</v>
      </c>
      <c r="C9" s="31" t="s">
        <v>12</v>
      </c>
      <c r="D9" s="32">
        <v>0</v>
      </c>
      <c r="E9" s="33">
        <v>46080</v>
      </c>
      <c r="F9" s="33">
        <f>E9+3</f>
        <v>46083</v>
      </c>
      <c r="G9" s="6"/>
      <c r="H9" s="3">
        <f t="shared" si="16"/>
        <v>4</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row>
    <row r="10" spans="1:54" s="29" customFormat="1" ht="30" customHeight="1" thickBot="1" x14ac:dyDescent="0.3">
      <c r="A10" s="5"/>
      <c r="B10" s="35" t="s">
        <v>13</v>
      </c>
      <c r="C10" s="36" t="s">
        <v>12</v>
      </c>
      <c r="D10" s="37">
        <v>0</v>
      </c>
      <c r="E10" s="38">
        <v>46080</v>
      </c>
      <c r="F10" s="38">
        <v>46086</v>
      </c>
      <c r="G10" s="6"/>
      <c r="H10" s="3">
        <f t="shared" si="16"/>
        <v>7</v>
      </c>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row>
    <row r="11" spans="1:54" s="29" customFormat="1" ht="30" customHeight="1" thickBot="1" x14ac:dyDescent="0.3">
      <c r="A11" s="4"/>
      <c r="B11" s="35" t="s">
        <v>14</v>
      </c>
      <c r="C11" s="36" t="s">
        <v>12</v>
      </c>
      <c r="D11" s="37">
        <v>0</v>
      </c>
      <c r="E11" s="38">
        <v>46080</v>
      </c>
      <c r="F11" s="38">
        <v>46086</v>
      </c>
      <c r="G11" s="6"/>
      <c r="H11" s="3">
        <f t="shared" si="16"/>
        <v>7</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row>
    <row r="12" spans="1:54" s="29" customFormat="1" ht="30" customHeight="1" thickBot="1" x14ac:dyDescent="0.3">
      <c r="A12" s="4"/>
      <c r="B12" s="35" t="s">
        <v>15</v>
      </c>
      <c r="C12" s="36" t="s">
        <v>12</v>
      </c>
      <c r="D12" s="37">
        <v>0</v>
      </c>
      <c r="E12" s="38">
        <v>46080</v>
      </c>
      <c r="F12" s="38">
        <v>46108</v>
      </c>
      <c r="G12" s="6"/>
      <c r="H12" s="3">
        <f t="shared" si="16"/>
        <v>29</v>
      </c>
      <c r="I12" s="34"/>
      <c r="J12" s="34"/>
      <c r="K12" s="34"/>
      <c r="L12" s="34"/>
      <c r="M12" s="34"/>
      <c r="N12" s="34"/>
      <c r="O12" s="34"/>
      <c r="P12" s="34"/>
      <c r="Q12" s="34"/>
      <c r="R12" s="34"/>
      <c r="S12" s="34"/>
      <c r="T12" s="34"/>
      <c r="U12" s="34"/>
      <c r="V12" s="34"/>
      <c r="W12" s="34"/>
      <c r="X12" s="34"/>
      <c r="Y12" s="39"/>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row>
    <row r="13" spans="1:54" s="29" customFormat="1" ht="30" customHeight="1" thickBot="1" x14ac:dyDescent="0.3">
      <c r="A13" s="4"/>
      <c r="B13" s="35" t="s">
        <v>16</v>
      </c>
      <c r="C13" s="36" t="s">
        <v>12</v>
      </c>
      <c r="D13" s="37">
        <v>0</v>
      </c>
      <c r="E13" s="38">
        <v>46080</v>
      </c>
      <c r="F13" s="38">
        <v>46111</v>
      </c>
      <c r="G13" s="6"/>
      <c r="H13" s="3">
        <f t="shared" si="16"/>
        <v>32</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row>
    <row r="14" spans="1:54" s="29" customFormat="1" ht="30" customHeight="1" thickBot="1" x14ac:dyDescent="0.3">
      <c r="A14" s="5"/>
      <c r="B14" s="40" t="s">
        <v>17</v>
      </c>
      <c r="C14" s="41"/>
      <c r="D14" s="42"/>
      <c r="E14" s="43"/>
      <c r="F14" s="44"/>
      <c r="G14" s="6"/>
      <c r="H14" s="3" t="str">
        <f t="shared" si="16"/>
        <v/>
      </c>
    </row>
    <row r="15" spans="1:54" s="29" customFormat="1" ht="30" customHeight="1" thickBot="1" x14ac:dyDescent="0.3">
      <c r="A15" s="5"/>
      <c r="B15" s="45" t="s">
        <v>18</v>
      </c>
      <c r="C15" s="46" t="s">
        <v>12</v>
      </c>
      <c r="D15" s="47">
        <v>1</v>
      </c>
      <c r="E15" s="48">
        <v>46078</v>
      </c>
      <c r="F15" s="48">
        <v>46080</v>
      </c>
      <c r="G15" s="6"/>
      <c r="H15" s="3">
        <f t="shared" si="16"/>
        <v>3</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4" s="29" customFormat="1" ht="30" customHeight="1" thickBot="1" x14ac:dyDescent="0.3">
      <c r="A16" s="4"/>
      <c r="B16" s="45" t="s">
        <v>19</v>
      </c>
      <c r="C16" s="46" t="s">
        <v>12</v>
      </c>
      <c r="D16" s="47">
        <v>1</v>
      </c>
      <c r="E16" s="48">
        <v>46078</v>
      </c>
      <c r="F16" s="48">
        <v>46080</v>
      </c>
      <c r="G16" s="6"/>
      <c r="H16" s="3">
        <f t="shared" si="16"/>
        <v>3</v>
      </c>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row>
    <row r="17" spans="1:54" s="29" customFormat="1" ht="30" customHeight="1" thickBot="1" x14ac:dyDescent="0.3">
      <c r="A17" s="4"/>
      <c r="B17" s="45" t="s">
        <v>20</v>
      </c>
      <c r="C17" s="46" t="s">
        <v>12</v>
      </c>
      <c r="D17" s="47">
        <v>0</v>
      </c>
      <c r="E17" s="48">
        <v>46080</v>
      </c>
      <c r="F17" s="48">
        <v>46109</v>
      </c>
      <c r="G17" s="6"/>
      <c r="H17" s="3">
        <f t="shared" si="16"/>
        <v>30</v>
      </c>
      <c r="I17" s="34"/>
      <c r="J17" s="34"/>
      <c r="K17" s="34"/>
      <c r="L17" s="34"/>
      <c r="M17" s="34"/>
      <c r="N17" s="34"/>
      <c r="O17" s="34"/>
      <c r="P17" s="34"/>
      <c r="Q17" s="34"/>
      <c r="R17" s="34"/>
      <c r="S17" s="34"/>
      <c r="T17" s="34"/>
      <c r="U17" s="34"/>
      <c r="V17" s="34"/>
      <c r="W17" s="34"/>
      <c r="X17" s="34"/>
      <c r="Y17" s="39"/>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row>
    <row r="18" spans="1:54" s="29" customFormat="1" ht="30" customHeight="1" thickBot="1" x14ac:dyDescent="0.3">
      <c r="A18" s="4"/>
      <c r="B18" s="45" t="s">
        <v>21</v>
      </c>
      <c r="C18" s="46" t="s">
        <v>12</v>
      </c>
      <c r="D18" s="47">
        <v>0</v>
      </c>
      <c r="E18" s="48">
        <v>46078</v>
      </c>
      <c r="F18" s="48">
        <v>46107</v>
      </c>
      <c r="G18" s="6"/>
      <c r="H18" s="3">
        <f t="shared" si="16"/>
        <v>30</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row>
    <row r="19" spans="1:54" s="29" customFormat="1" ht="30" customHeight="1" thickBot="1" x14ac:dyDescent="0.3">
      <c r="A19" s="4"/>
      <c r="B19" s="49" t="s">
        <v>22</v>
      </c>
      <c r="C19" s="50"/>
      <c r="D19" s="51"/>
      <c r="E19" s="52"/>
      <c r="F19" s="53"/>
      <c r="G19" s="6"/>
      <c r="H19" s="3" t="str">
        <f t="shared" si="16"/>
        <v/>
      </c>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34"/>
      <c r="AK19" s="34"/>
      <c r="AL19" s="34"/>
      <c r="AM19" s="34"/>
      <c r="AN19" s="34"/>
      <c r="AO19" s="34"/>
      <c r="AP19" s="34"/>
      <c r="AQ19" s="34"/>
      <c r="AR19" s="34"/>
      <c r="AS19" s="34"/>
      <c r="AT19" s="34"/>
      <c r="AU19" s="34"/>
      <c r="AV19" s="34"/>
      <c r="AW19" s="34"/>
      <c r="AX19" s="34"/>
    </row>
    <row r="20" spans="1:54" s="29" customFormat="1" ht="30" customHeight="1" thickBot="1" x14ac:dyDescent="0.3">
      <c r="A20" s="4"/>
      <c r="B20" s="55" t="s">
        <v>18</v>
      </c>
      <c r="C20" s="56" t="s">
        <v>12</v>
      </c>
      <c r="D20" s="57">
        <v>1</v>
      </c>
      <c r="E20" s="58">
        <v>46078</v>
      </c>
      <c r="F20" s="58">
        <v>46080</v>
      </c>
      <c r="G20" s="6"/>
      <c r="H20" s="3">
        <f t="shared" si="16"/>
        <v>3</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row>
    <row r="21" spans="1:54" s="29" customFormat="1" ht="30" customHeight="1" thickBot="1" x14ac:dyDescent="0.3">
      <c r="A21" s="4"/>
      <c r="B21" s="55" t="s">
        <v>23</v>
      </c>
      <c r="C21" s="56" t="s">
        <v>12</v>
      </c>
      <c r="D21" s="57">
        <v>1</v>
      </c>
      <c r="E21" s="58">
        <v>46078</v>
      </c>
      <c r="F21" s="58">
        <v>46108</v>
      </c>
      <c r="G21" s="6"/>
      <c r="H21" s="3">
        <f t="shared" si="16"/>
        <v>31</v>
      </c>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row>
    <row r="22" spans="1:54" s="29" customFormat="1" ht="30" customHeight="1" thickBot="1" x14ac:dyDescent="0.3">
      <c r="A22" s="4"/>
      <c r="B22" s="55" t="s">
        <v>20</v>
      </c>
      <c r="C22" s="56" t="s">
        <v>12</v>
      </c>
      <c r="D22" s="57">
        <v>0</v>
      </c>
      <c r="E22" s="58">
        <v>46078</v>
      </c>
      <c r="F22" s="58">
        <v>46110</v>
      </c>
      <c r="G22" s="6"/>
      <c r="H22" s="3">
        <f t="shared" si="16"/>
        <v>33</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row>
    <row r="23" spans="1:54" s="29" customFormat="1" ht="30" customHeight="1" thickBot="1" x14ac:dyDescent="0.3">
      <c r="A23" s="4"/>
      <c r="B23" s="55" t="s">
        <v>24</v>
      </c>
      <c r="C23" s="56" t="s">
        <v>12</v>
      </c>
      <c r="D23" s="57">
        <v>0</v>
      </c>
      <c r="E23" s="58">
        <v>46077</v>
      </c>
      <c r="F23" s="58">
        <v>46110</v>
      </c>
      <c r="G23" s="6"/>
      <c r="H23" s="3">
        <f t="shared" si="16"/>
        <v>34</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row>
    <row r="24" spans="1:54" s="29" customFormat="1" ht="30" customHeight="1" thickBot="1" x14ac:dyDescent="0.3">
      <c r="A24" s="4"/>
      <c r="B24" s="59" t="s">
        <v>41</v>
      </c>
      <c r="C24" s="60"/>
      <c r="D24" s="61"/>
      <c r="E24" s="62"/>
      <c r="F24" s="63"/>
      <c r="G24" s="6"/>
      <c r="H24" s="3" t="str">
        <f t="shared" si="16"/>
        <v/>
      </c>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row>
    <row r="25" spans="1:54" s="29" customFormat="1" ht="30" customHeight="1" thickBot="1" x14ac:dyDescent="0.3">
      <c r="A25" s="4"/>
      <c r="B25" s="65" t="s">
        <v>40</v>
      </c>
      <c r="C25" s="66" t="s">
        <v>12</v>
      </c>
      <c r="D25" s="67">
        <v>0</v>
      </c>
      <c r="E25" s="68">
        <v>46080</v>
      </c>
      <c r="F25" s="68">
        <v>46110</v>
      </c>
      <c r="G25" s="6"/>
      <c r="H25" s="3">
        <f t="shared" si="16"/>
        <v>31</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row>
    <row r="26" spans="1:54" s="29" customFormat="1" ht="30" customHeight="1" thickBot="1" x14ac:dyDescent="0.3">
      <c r="A26" s="4"/>
      <c r="B26" s="65" t="s">
        <v>36</v>
      </c>
      <c r="C26" s="66" t="s">
        <v>12</v>
      </c>
      <c r="D26" s="67">
        <v>0</v>
      </c>
      <c r="E26" s="68">
        <v>46080</v>
      </c>
      <c r="F26" s="68">
        <v>46110</v>
      </c>
      <c r="G26" s="6"/>
      <c r="H26" s="3"/>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row>
    <row r="27" spans="1:54" s="29" customFormat="1" ht="30" customHeight="1" thickBot="1" x14ac:dyDescent="0.3">
      <c r="A27" s="4"/>
      <c r="B27" s="65" t="s">
        <v>25</v>
      </c>
      <c r="C27" s="66" t="s">
        <v>12</v>
      </c>
      <c r="D27" s="67">
        <v>0</v>
      </c>
      <c r="E27" s="68">
        <v>46080</v>
      </c>
      <c r="F27" s="68">
        <v>46110</v>
      </c>
      <c r="G27" s="6"/>
      <c r="H27" s="3">
        <f t="shared" si="16"/>
        <v>31</v>
      </c>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row>
    <row r="28" spans="1:54" s="29" customFormat="1" ht="30" customHeight="1" thickBot="1" x14ac:dyDescent="0.3">
      <c r="A28" s="4"/>
      <c r="B28" s="23" t="s">
        <v>26</v>
      </c>
      <c r="C28" s="24"/>
      <c r="D28" s="25"/>
      <c r="E28" s="26"/>
      <c r="F28" s="27"/>
      <c r="G28" s="6"/>
      <c r="H28" s="3" t="str">
        <f t="shared" si="16"/>
        <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row>
    <row r="29" spans="1:54" s="29" customFormat="1" ht="30" customHeight="1" thickBot="1" x14ac:dyDescent="0.3">
      <c r="A29" s="5"/>
      <c r="B29" s="30" t="s">
        <v>27</v>
      </c>
      <c r="C29" s="31" t="s">
        <v>12</v>
      </c>
      <c r="D29" s="32">
        <v>0</v>
      </c>
      <c r="E29" s="33">
        <v>46080</v>
      </c>
      <c r="F29" s="33">
        <f>E29+7</f>
        <v>46087</v>
      </c>
      <c r="G29" s="6"/>
      <c r="H29" s="3">
        <f t="shared" si="16"/>
        <v>8</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row>
    <row r="30" spans="1:54" ht="30" customHeight="1" thickBot="1" x14ac:dyDescent="0.3">
      <c r="B30" s="35" t="s">
        <v>28</v>
      </c>
      <c r="C30" s="36" t="s">
        <v>12</v>
      </c>
      <c r="D30" s="37">
        <v>0</v>
      </c>
      <c r="E30" s="38">
        <f>F29</f>
        <v>46087</v>
      </c>
      <c r="F30" s="38">
        <f>E30+7</f>
        <v>46094</v>
      </c>
      <c r="G30" s="6"/>
      <c r="H30" s="3"/>
      <c r="I30" s="34"/>
      <c r="J30" s="34"/>
      <c r="K30" s="34"/>
      <c r="L30" s="34"/>
      <c r="M30" s="34"/>
      <c r="N30" s="34"/>
      <c r="O30" s="34"/>
      <c r="P30" s="34"/>
      <c r="Q30" s="34"/>
      <c r="R30" s="34"/>
      <c r="S30" s="34"/>
      <c r="T30" s="34"/>
      <c r="U30" s="39"/>
      <c r="V30" s="39"/>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row>
    <row r="31" spans="1:54" ht="30" customHeight="1" thickBot="1" x14ac:dyDescent="0.3">
      <c r="B31" s="35" t="s">
        <v>29</v>
      </c>
      <c r="C31" s="36" t="s">
        <v>12</v>
      </c>
      <c r="D31" s="37">
        <v>0</v>
      </c>
      <c r="E31" s="38">
        <v>46094</v>
      </c>
      <c r="F31" s="38">
        <v>46105</v>
      </c>
      <c r="G31" s="6"/>
      <c r="H31" s="3"/>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row>
    <row r="32" spans="1:54" ht="30" customHeight="1" thickBot="1" x14ac:dyDescent="0.3">
      <c r="B32" s="35" t="s">
        <v>38</v>
      </c>
      <c r="C32" s="36" t="s">
        <v>12</v>
      </c>
      <c r="D32" s="37">
        <v>0</v>
      </c>
      <c r="E32" s="38">
        <f>F31</f>
        <v>46105</v>
      </c>
      <c r="F32" s="38">
        <v>46108</v>
      </c>
      <c r="G32" s="6"/>
      <c r="H32" s="3"/>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row>
    <row r="33" spans="2:54" ht="30" customHeight="1" thickBot="1" x14ac:dyDescent="0.3">
      <c r="B33" s="35" t="s">
        <v>30</v>
      </c>
      <c r="C33" s="36" t="s">
        <v>12</v>
      </c>
      <c r="D33" s="37">
        <v>0</v>
      </c>
      <c r="E33" s="38">
        <v>46108</v>
      </c>
      <c r="F33" s="38">
        <v>46112</v>
      </c>
      <c r="G33" s="6"/>
      <c r="H33" s="3"/>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row>
    <row r="34" spans="2:54" ht="30" customHeight="1" thickBot="1" x14ac:dyDescent="0.3">
      <c r="B34" s="35" t="s">
        <v>31</v>
      </c>
      <c r="C34" s="36" t="s">
        <v>12</v>
      </c>
      <c r="D34" s="37">
        <v>0</v>
      </c>
      <c r="E34" s="38">
        <v>46109</v>
      </c>
      <c r="F34" s="38">
        <v>46112</v>
      </c>
      <c r="G34" s="6"/>
      <c r="H34" s="3"/>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row>
    <row r="35" spans="2:54" ht="30" customHeight="1" thickBot="1" x14ac:dyDescent="0.3">
      <c r="B35" s="40" t="s">
        <v>32</v>
      </c>
      <c r="C35" s="41"/>
      <c r="D35" s="42"/>
      <c r="E35" s="43"/>
      <c r="F35" s="44"/>
      <c r="G35" s="6"/>
      <c r="H35" s="3" t="str">
        <f t="shared" ref="H35:H36" si="17">IF(OR(ISBLANK(task_start),ISBLANK(task_end)),"",task_end-task_start+1)</f>
        <v/>
      </c>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row>
    <row r="36" spans="2:54" ht="30" customHeight="1" thickBot="1" x14ac:dyDescent="0.3">
      <c r="B36" s="45" t="s">
        <v>27</v>
      </c>
      <c r="C36" s="46" t="s">
        <v>12</v>
      </c>
      <c r="D36" s="47">
        <v>0</v>
      </c>
      <c r="E36" s="48">
        <v>46080</v>
      </c>
      <c r="F36" s="48" t="s">
        <v>39</v>
      </c>
      <c r="G36" s="6"/>
      <c r="H36" s="3" t="e">
        <f t="shared" si="17"/>
        <v>#VALUE!</v>
      </c>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row>
    <row r="37" spans="2:54" ht="30" customHeight="1" thickBot="1" x14ac:dyDescent="0.3">
      <c r="B37" s="45" t="s">
        <v>28</v>
      </c>
      <c r="C37" s="46" t="s">
        <v>12</v>
      </c>
      <c r="D37" s="47">
        <v>0</v>
      </c>
      <c r="E37" s="48" t="s">
        <v>39</v>
      </c>
      <c r="F37" s="48">
        <v>46088</v>
      </c>
      <c r="G37" s="6"/>
      <c r="H37" s="3"/>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row>
    <row r="38" spans="2:54" ht="30" customHeight="1" thickBot="1" x14ac:dyDescent="0.3">
      <c r="B38" s="45" t="s">
        <v>29</v>
      </c>
      <c r="C38" s="46" t="s">
        <v>12</v>
      </c>
      <c r="D38" s="47">
        <v>0</v>
      </c>
      <c r="E38" s="48">
        <v>46088</v>
      </c>
      <c r="F38" s="48">
        <v>46096</v>
      </c>
      <c r="G38" s="6"/>
      <c r="H38" s="3"/>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row>
    <row r="39" spans="2:54" ht="30" customHeight="1" thickBot="1" x14ac:dyDescent="0.3">
      <c r="B39" s="45" t="s">
        <v>38</v>
      </c>
      <c r="C39" s="46" t="s">
        <v>12</v>
      </c>
      <c r="D39" s="47">
        <v>0</v>
      </c>
      <c r="E39" s="48">
        <v>46096</v>
      </c>
      <c r="F39" s="48">
        <v>46109</v>
      </c>
      <c r="G39" s="6"/>
      <c r="H39" s="3"/>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row>
    <row r="40" spans="2:54" ht="30" customHeight="1" thickBot="1" x14ac:dyDescent="0.3">
      <c r="B40" s="45" t="s">
        <v>30</v>
      </c>
      <c r="C40" s="46" t="s">
        <v>12</v>
      </c>
      <c r="D40" s="47">
        <v>0</v>
      </c>
      <c r="E40" s="48">
        <f>E33</f>
        <v>46108</v>
      </c>
      <c r="F40" s="48">
        <f t="shared" ref="F40" si="18">F33</f>
        <v>46112</v>
      </c>
      <c r="G40" s="6"/>
      <c r="H40" s="3"/>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2:54" ht="30" customHeight="1" thickBot="1" x14ac:dyDescent="0.3">
      <c r="B41" s="45" t="s">
        <v>31</v>
      </c>
      <c r="C41" s="46" t="s">
        <v>12</v>
      </c>
      <c r="D41" s="47">
        <v>0</v>
      </c>
      <c r="E41" s="48">
        <f t="shared" ref="E41:F41" si="19">E34</f>
        <v>46109</v>
      </c>
      <c r="F41" s="48">
        <f t="shared" si="19"/>
        <v>46112</v>
      </c>
      <c r="G41" s="6"/>
      <c r="H41" s="6"/>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2:54" ht="30" customHeight="1" thickBot="1" x14ac:dyDescent="0.3">
      <c r="B42" s="49" t="s">
        <v>33</v>
      </c>
      <c r="C42" s="50"/>
      <c r="D42" s="51"/>
      <c r="E42" s="52"/>
      <c r="F42" s="53"/>
      <c r="G42" s="6"/>
      <c r="H42" s="3" t="str">
        <f t="shared" ref="H42:H43" si="20">IF(OR(ISBLANK(task_start),ISBLANK(task_end)),"",task_end-task_start+1)</f>
        <v/>
      </c>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29"/>
    </row>
    <row r="43" spans="2:54" ht="30" customHeight="1" thickBot="1" x14ac:dyDescent="0.3">
      <c r="B43" s="55" t="s">
        <v>34</v>
      </c>
      <c r="C43" s="56" t="s">
        <v>37</v>
      </c>
      <c r="D43" s="57">
        <v>0</v>
      </c>
      <c r="E43" s="58">
        <f>E29+12</f>
        <v>46092</v>
      </c>
      <c r="F43" s="58">
        <v>46110</v>
      </c>
      <c r="G43" s="6"/>
      <c r="H43" s="3">
        <f t="shared" si="20"/>
        <v>19</v>
      </c>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row>
    <row r="44" spans="2:54" ht="30" customHeight="1" thickBot="1" x14ac:dyDescent="0.3">
      <c r="B44" s="55" t="s">
        <v>35</v>
      </c>
      <c r="C44" s="56" t="s">
        <v>37</v>
      </c>
      <c r="D44" s="57">
        <v>0</v>
      </c>
      <c r="E44" s="58">
        <f>F43</f>
        <v>46110</v>
      </c>
      <c r="F44" s="58">
        <f>E44+8</f>
        <v>46118</v>
      </c>
      <c r="G44" s="6"/>
      <c r="H44" s="3"/>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row>
    <row r="45" spans="2:54" ht="30" customHeight="1" thickBot="1" x14ac:dyDescent="0.3">
      <c r="B45" s="55" t="s">
        <v>20</v>
      </c>
      <c r="C45" s="56" t="s">
        <v>37</v>
      </c>
      <c r="D45" s="57">
        <v>0</v>
      </c>
      <c r="E45" s="58">
        <v>46106</v>
      </c>
      <c r="F45" s="58">
        <v>46111</v>
      </c>
      <c r="G45" s="6"/>
      <c r="H45" s="3"/>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row>
    <row r="46" spans="2:54" ht="30" customHeight="1" thickBot="1" x14ac:dyDescent="0.3">
      <c r="B46" s="55" t="s">
        <v>16</v>
      </c>
      <c r="C46" s="56" t="s">
        <v>37</v>
      </c>
      <c r="D46" s="57">
        <v>0</v>
      </c>
      <c r="E46" s="58">
        <v>46105</v>
      </c>
      <c r="F46" s="58">
        <v>46112</v>
      </c>
      <c r="G46" s="6"/>
      <c r="H46" s="3"/>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row>
    <row r="48" spans="2:54" ht="30" customHeight="1" x14ac:dyDescent="0.25">
      <c r="F48" s="70"/>
    </row>
  </sheetData>
  <mergeCells count="17">
    <mergeCell ref="A5:A6"/>
    <mergeCell ref="B5:B6"/>
    <mergeCell ref="C5:C6"/>
    <mergeCell ref="D5:D6"/>
    <mergeCell ref="E5:E6"/>
    <mergeCell ref="Q1:Z1"/>
    <mergeCell ref="I1:O1"/>
    <mergeCell ref="I2:O2"/>
    <mergeCell ref="B2:F3"/>
    <mergeCell ref="I4:O4"/>
    <mergeCell ref="P4:V4"/>
    <mergeCell ref="W4:AC4"/>
    <mergeCell ref="AK4:AQ4"/>
    <mergeCell ref="AR4:AX4"/>
    <mergeCell ref="AD4:AJ4"/>
    <mergeCell ref="F5:F6"/>
    <mergeCell ref="Q2:Z2"/>
  </mergeCells>
  <conditionalFormatting sqref="D7:D46">
    <cfRule type="dataBar" priority="49">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20:AQ20 I21:AP21 I22:AT22 I23:AW23">
    <cfRule type="expression" dxfId="19" priority="28">
      <formula>AND(task_start&lt;=I$5,ROUNDDOWN((task_end-task_start+1)*task_progress,0)+task_start-1&gt;=I$5)</formula>
    </cfRule>
    <cfRule type="expression" dxfId="18" priority="29" stopIfTrue="1">
      <formula>AND(task_end&gt;=I$5,task_start&lt;J$5)</formula>
    </cfRule>
  </conditionalFormatting>
  <conditionalFormatting sqref="I9:AX12 I13:BB13 I29:AX31 I32:AY32 I33:AX34">
    <cfRule type="expression" dxfId="17" priority="32">
      <formula>AND(task_start&lt;=I$5,ROUNDDOWN((task_end-task_start+1)*task_progress,0)+task_start-1&gt;=I$5)</formula>
    </cfRule>
  </conditionalFormatting>
  <conditionalFormatting sqref="I36:AX36 I37:BB37 I38:BA38 I39:AW39 I40:AZ41">
    <cfRule type="expression" dxfId="16" priority="7" stopIfTrue="1">
      <formula>AND(task_end&gt;=I$5,task_start&lt;J$5)</formula>
    </cfRule>
  </conditionalFormatting>
  <conditionalFormatting sqref="I36:AX36 I37:BB37 I38:BA38 I39:AX39 I40:AZ41">
    <cfRule type="expression" dxfId="15" priority="6">
      <formula>AND(task_start&lt;=I$5,ROUNDDOWN((task_end-task_start+1)*task_progress,0)+task_start-1&gt;=I$5)</formula>
    </cfRule>
  </conditionalFormatting>
  <conditionalFormatting sqref="I15:AZ15 I16:AX16 I17:AI18 AJ17:AX19 AR20:AX20 AQ21:AX21 AU22:AX22 AX23">
    <cfRule type="expression" dxfId="14" priority="30">
      <formula>AND(task_start&lt;=I$5,ROUNDDOWN((task_end-task_start+1)*task_progress,0)+task_start-1&gt;=I$5)</formula>
    </cfRule>
  </conditionalFormatting>
  <conditionalFormatting sqref="I15:AZ15 I16:AX16 AJ17:AV17 I17:AI18 AJ18:AT18">
    <cfRule type="expression" dxfId="13" priority="31" stopIfTrue="1">
      <formula>AND(task_end&gt;=I$5,task_start&lt;J$5)</formula>
    </cfRule>
  </conditionalFormatting>
  <conditionalFormatting sqref="I43:BA43 I44:AX45 I46:BA46">
    <cfRule type="expression" dxfId="12" priority="3">
      <formula>AND(task_start&lt;=I$5,ROUNDDOWN((task_end-task_start+1)*task_progress,0)+task_start-1&gt;=I$5)</formula>
    </cfRule>
  </conditionalFormatting>
  <conditionalFormatting sqref="I43:BA43 AJ44:AX44 I44:AI45 J45:AV45 I46:BA46">
    <cfRule type="expression" dxfId="11" priority="4" stopIfTrue="1">
      <formula>AND(task_end&gt;=I$5,task_start&lt;J$5)</formula>
    </cfRule>
  </conditionalFormatting>
  <conditionalFormatting sqref="J36:AX36 I39:AW39 I33:AI36 I37:BB37 I38:BA38 I40:AZ41 AJ44:AX44 J45:AV45 I43:BA43 I44:AI45 I46:BA46 AK4:AP4 AR4:AW4 I4:AI14 Q9:AV9 T10:AV10 T11:AX11 AJ12:AW12 AJ13:BB13 I15:AZ15 I16:AX16 AJ17:AV17 I17:AI19 AJ18:AT18 I20:AQ20 I21:AP21 I22:AT22 I23:AW23 I24:AI31 AJ25:BB26 AJ27:AS27 U29:AS29 AB30:AV30 AJ31:AR31 I32:AY32 J33:AX34 I42:AI42">
    <cfRule type="expression" dxfId="10" priority="27">
      <formula>AND(TODAY()&gt;=I$5, TODAY()&lt;J$5)</formula>
    </cfRule>
  </conditionalFormatting>
  <conditionalFormatting sqref="Q9:AV9 I9:AI13 T10:AV10 T11:AX11 AJ12:AW12 AJ13:BB13 U29:AS29 I29:AI31 AB30:AV30 AJ31:AR31 I32:AY32 I33:AX34">
    <cfRule type="expression" dxfId="9" priority="33" stopIfTrue="1">
      <formula>AND(task_end&gt;=I$5,task_start&lt;J$5)</formula>
    </cfRule>
  </conditionalFormatting>
  <conditionalFormatting sqref="AJ4:AJ12 AK9:AX12 AJ28:AJ31 AK29:AX31 AK33:AX34 AJ33:AJ36 AJ17:AX19 AK36:AX36 AJ39:AX39 AJ44:AX45 AQ4 AX4 AK5:AX6 AJ14 AR20:AX20 AQ21:AX21 AU22:AX22 AX23 AJ24 AT27:AX27 AJ42">
    <cfRule type="expression" dxfId="8" priority="65">
      <formula>AND(TODAY()&gt;=AJ$5, TODAY()&lt;#REF!)</formula>
    </cfRule>
  </conditionalFormatting>
  <conditionalFormatting sqref="AJ9:AX12 AJ29:AX31 AJ33:AX34">
    <cfRule type="expression" dxfId="7" priority="69" stopIfTrue="1">
      <formula>AND(task_end&gt;=AJ$5,task_start&lt;#REF!)</formula>
    </cfRule>
  </conditionalFormatting>
  <conditionalFormatting sqref="AJ17:AX19 AR20:AX20 AQ21:AX21 AU22:AX22 AX23">
    <cfRule type="expression" dxfId="6" priority="73" stopIfTrue="1">
      <formula>AND(task_end&gt;=AJ$5,task_start&lt;#REF!)</formula>
    </cfRule>
  </conditionalFormatting>
  <conditionalFormatting sqref="AJ36:AX36 AJ39:AX39">
    <cfRule type="expression" dxfId="5" priority="8" stopIfTrue="1">
      <formula>AND(task_end&gt;=AJ$5,task_start&lt;#REF!)</formula>
    </cfRule>
  </conditionalFormatting>
  <conditionalFormatting sqref="AJ44:AX45">
    <cfRule type="expression" dxfId="4" priority="5" stopIfTrue="1">
      <formula>AND(task_end&gt;=AJ$5,task_start&lt;#REF!)</formula>
    </cfRule>
  </conditionalFormatting>
  <conditionalFormatting sqref="AJ25:BB26 I25:AI27 AJ27:AS27">
    <cfRule type="expression" dxfId="3" priority="62">
      <formula>AND(task_start&lt;=I$5,ROUNDDOWN((task_end-task_start+1)*task_progress,0)+task_start-1&gt;=I$5)</formula>
    </cfRule>
    <cfRule type="expression" dxfId="2" priority="63" stopIfTrue="1">
      <formula>AND(task_end&gt;=I$5,task_start&lt;J$5)</formula>
    </cfRule>
  </conditionalFormatting>
  <conditionalFormatting sqref="AT27:AX27">
    <cfRule type="expression" dxfId="1" priority="80">
      <formula>AND(task_start&lt;=AT$5,ROUNDDOWN((task_end-task_start+1)*task_progress,0)+task_start-1&gt;=AT$5)</formula>
    </cfRule>
    <cfRule type="expression" dxfId="0" priority="81" stopIfTrue="1">
      <formula>AND(task_end&gt;=AT$5,task_start&lt;#REF!)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9"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1" ma:contentTypeDescription="Create a new document." ma:contentTypeScope="" ma:versionID="bdc3eefcce20f052996132159226e429">
  <xsd:schema xmlns:xsd="http://www.w3.org/2001/XMLSchema" xmlns:xs="http://www.w3.org/2001/XMLSchema" xmlns:p="http://schemas.microsoft.com/office/2006/metadata/properties" xmlns:ns3="d94ee4e4-02cb-4da0-9dbe-ce518434d583" targetNamespace="http://schemas.microsoft.com/office/2006/metadata/properties" ma:root="true" ma:fieldsID="5c4b9b742bc415e6b5f4f276646a238f"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GenerationTime" minOccurs="0"/>
                <xsd:element ref="ns3:MediaServiceEventHashCode" minOccurs="0"/>
                <xsd:element ref="ns3:MediaLengthInSeconds" minOccurs="0"/>
                <xsd:element ref="ns3:MediaServiceSystemTags" minOccurs="0"/>
                <xsd:element ref="ns3:MediaServiceOCR"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d94ee4e4-02cb-4da0-9dbe-ce518434d583"/>
    <ds:schemaRef ds:uri="http://purl.org/dc/terms/"/>
    <ds:schemaRef ds:uri="http://purl.org/dc/elements/1.1/"/>
    <ds:schemaRef ds:uri="http://schemas.microsoft.com/office/2006/metadata/properties"/>
    <ds:schemaRef ds:uri="http://purl.org/dc/dcmitype/"/>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s>
</ds:datastoreItem>
</file>

<file path=customXml/itemProps3.xml><?xml version="1.0" encoding="utf-8"?>
<ds:datastoreItem xmlns:ds="http://schemas.openxmlformats.org/officeDocument/2006/customXml" ds:itemID="{2E5DA2FE-92B2-4C19-9D9C-437E53D098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Anicet Atikpohou</cp:lastModifiedBy>
  <cp:revision/>
  <dcterms:created xsi:type="dcterms:W3CDTF">2022-03-11T22:41:12Z</dcterms:created>
  <dcterms:modified xsi:type="dcterms:W3CDTF">2026-03-31T15:25:08Z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